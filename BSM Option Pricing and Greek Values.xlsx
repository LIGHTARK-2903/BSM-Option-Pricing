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ight\Documents\CAREER\Quantitative Modelling in Excel\"/>
    </mc:Choice>
  </mc:AlternateContent>
  <xr:revisionPtr revIDLastSave="0" documentId="13_ncr:1_{7EFCA5DC-56DC-487E-A5FA-B38E74CF9F39}" xr6:coauthVersionLast="47" xr6:coauthVersionMax="47" xr10:uidLastSave="{00000000-0000-0000-0000-000000000000}"/>
  <bookViews>
    <workbookView xWindow="-108" yWindow="-108" windowWidth="23256" windowHeight="12456" xr2:uid="{689DDF64-FFCB-4B41-B340-CD4052EA2389}"/>
  </bookViews>
  <sheets>
    <sheet name="BSM Option Greeks Value" sheetId="1" r:id="rId1"/>
    <sheet name="Cox Ross and Rubinstien C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0" i="2" s="1"/>
  <c r="G3" i="2" s="1"/>
  <c r="F4" i="2"/>
  <c r="B12" i="1"/>
  <c r="B8" i="1"/>
  <c r="B13" i="1" s="1"/>
  <c r="C18" i="2" a="1"/>
  <c r="C18" i="2" l="1"/>
  <c r="H2" i="2"/>
  <c r="C11" i="2"/>
  <c r="H4" i="2" s="1"/>
  <c r="B22" i="1"/>
  <c r="B14" i="1"/>
  <c r="B15" i="1" s="1"/>
  <c r="B21" i="1"/>
  <c r="H12" i="2" l="1"/>
  <c r="H20" i="2"/>
  <c r="H10" i="2"/>
  <c r="H18" i="2"/>
  <c r="C15" i="2"/>
  <c r="G5" i="2"/>
  <c r="H6" i="2" s="1"/>
  <c r="B23" i="1"/>
  <c r="B19" i="1"/>
  <c r="B17" i="1"/>
  <c r="G4" i="1" s="1"/>
  <c r="B16" i="1"/>
  <c r="B18" i="1" s="1"/>
  <c r="H14" i="2" l="1"/>
  <c r="H22" i="2"/>
  <c r="C16" i="2"/>
  <c r="F3" i="1"/>
  <c r="K3" i="1"/>
  <c r="J3" i="1"/>
  <c r="G3" i="1"/>
  <c r="B20" i="1"/>
  <c r="H3" i="1"/>
  <c r="H4" i="1" s="1"/>
  <c r="I3" i="1"/>
  <c r="I4" i="1" s="1"/>
  <c r="G13" i="2" l="1"/>
  <c r="G19" i="2"/>
  <c r="G21" i="2"/>
  <c r="G11" i="2"/>
  <c r="F12" i="2" s="1"/>
  <c r="F4" i="1"/>
  <c r="K4" i="1"/>
  <c r="J4" i="1"/>
  <c r="F2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<sst xmlns="http://schemas.openxmlformats.org/spreadsheetml/2006/main" count="49" uniqueCount="49">
  <si>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Black-Scholes-Merton Option Pricing and Greeks Calculator</t>
  </si>
  <si>
    <t>Underlying Price</t>
  </si>
  <si>
    <t>Exercise/Strike Price</t>
  </si>
  <si>
    <t>Volatility (p.a.)</t>
  </si>
  <si>
    <t>Interest Rate (p.a.)</t>
  </si>
  <si>
    <t>Dividend Yield (p.a.)</t>
  </si>
  <si>
    <t>Time to Expiration</t>
  </si>
  <si>
    <t>Number of days to expiration</t>
  </si>
  <si>
    <t>Number of days in the year</t>
  </si>
  <si>
    <t>ln(S0/X)</t>
  </si>
  <si>
    <t>𝜎√𝑡</t>
  </si>
  <si>
    <t>(𝑟−𝑞+1/2 𝜎^2 )𝑡</t>
  </si>
  <si>
    <t>d1</t>
  </si>
  <si>
    <t>d2</t>
  </si>
  <si>
    <t>N(d1)</t>
  </si>
  <si>
    <t>N(d2)</t>
  </si>
  <si>
    <t>N(-d1)</t>
  </si>
  <si>
    <t>N(-d2)</t>
  </si>
  <si>
    <t>exp(-rt)</t>
  </si>
  <si>
    <t>exp(-qt)</t>
  </si>
  <si>
    <t>Call Option</t>
  </si>
  <si>
    <t xml:space="preserve">Put Option </t>
  </si>
  <si>
    <t>Price</t>
  </si>
  <si>
    <t>Delta</t>
  </si>
  <si>
    <t>Gamma</t>
  </si>
  <si>
    <t>Theta</t>
  </si>
  <si>
    <t>Vega</t>
  </si>
  <si>
    <t>Rho</t>
  </si>
  <si>
    <t>Greeks</t>
  </si>
  <si>
    <t>Standard Normal PDF</t>
  </si>
  <si>
    <t xml:space="preserve"> </t>
  </si>
  <si>
    <t>Target Call Price</t>
  </si>
  <si>
    <t>Binomial Option Pricing Model (European Options)</t>
  </si>
  <si>
    <t>Stock Price (S)</t>
  </si>
  <si>
    <t>Strike/Exercise Price (K)</t>
  </si>
  <si>
    <t>Time to Maturity (in Years) (T)</t>
  </si>
  <si>
    <t>Risk-Free Rate (rf)</t>
  </si>
  <si>
    <r>
      <t>Volatility (</t>
    </r>
    <r>
      <rPr>
        <sz val="11"/>
        <color theme="1"/>
        <rFont val="Aptos Narrow"/>
        <family val="2"/>
      </rPr>
      <t>σ</t>
    </r>
    <r>
      <rPr>
        <sz val="11"/>
        <color theme="1"/>
        <rFont val="Aptos Narrow"/>
        <family val="2"/>
        <scheme val="minor"/>
      </rPr>
      <t>)</t>
    </r>
  </si>
  <si>
    <t>Number of Steps (n)</t>
  </si>
  <si>
    <r>
      <t>Option Type (</t>
    </r>
    <r>
      <rPr>
        <b/>
        <sz val="11"/>
        <color theme="1"/>
        <rFont val="Aptos Narrow"/>
        <family val="2"/>
        <scheme val="minor"/>
      </rPr>
      <t xml:space="preserve">Call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>Put</t>
    </r>
    <r>
      <rPr>
        <sz val="11"/>
        <color theme="1"/>
        <rFont val="Aptos Narrow"/>
        <family val="2"/>
        <scheme val="minor"/>
      </rPr>
      <t>)</t>
    </r>
  </si>
  <si>
    <t>Call</t>
  </si>
  <si>
    <t>Up Factor (u)</t>
  </si>
  <si>
    <t>Down Factor (d)</t>
  </si>
  <si>
    <t>dt</t>
  </si>
  <si>
    <t>European Call option</t>
  </si>
  <si>
    <t>Risk-Neutral Probability (p)</t>
  </si>
  <si>
    <t>1 - p</t>
  </si>
  <si>
    <t>European Put option</t>
  </si>
  <si>
    <t>Option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</si>
</sst>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00"/>
    <numFmt numFmtId="167" formatCode="0.000E+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2" fontId="0" fillId="2" borderId="0" xfId="0" applyNumberFormat="1" applyFill="1"/>
    <xf numFmtId="9" fontId="0" fillId="2" borderId="0" xfId="1" applyFont="1" applyFill="1"/>
    <xf numFmtId="1" fontId="0" fillId="2" borderId="0" xfId="1" applyNumberFormat="1" applyFont="1" applyFill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10" fontId="0" fillId="2" borderId="0" xfId="1" applyNumberFormat="1" applyFont="1" applyFill="1"/>
    <xf numFmtId="10" fontId="0" fillId="0" borderId="0" xfId="0" applyNumberFormat="1"/>
    <xf numFmtId="0" fontId="2" fillId="0" borderId="1" xfId="0" applyFont="1" applyBorder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434340</xdr:colOff>
      <xdr:row>11</xdr:row>
      <xdr:rowOff>41910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9238F-EF38-D3B9-9EC6-A46A75F1446D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8</xdr:col>
      <xdr:colOff>434340</xdr:colOff>
      <xdr:row>11</xdr:row>
      <xdr:rowOff>41910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F84E29-E7F5-5105-9CEE-5866B38F5D05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D8DA-78C1-4B28-8BA4-44688E0E57F8}">
  <sheetPr codeName="Sheet1"/>
  <dimension ref="A1:K23"/>
  <sheetViews>
    <sheetView tabSelected="1" workbookViewId="0">
      <selection activeCell="K8" sqref="K8"/>
    </sheetView>
  </sheetViews>
  <sheetFormatPr defaultRowHeight="14.4" x14ac:dyDescent="0.3"/>
  <cols>
    <col min="1" max="1" width="28.109375" customWidth="1"/>
    <col min="2" max="2" width="12.77734375" customWidth="1"/>
    <col min="5" max="5" width="14.109375" bestFit="1" customWidth="1"/>
    <col min="6" max="6" width="9.77734375" customWidth="1"/>
    <col min="11" max="11" width="12.6640625" bestFit="1" customWidth="1"/>
  </cols>
  <sheetData>
    <row r="1" spans="1:11" x14ac:dyDescent="0.3">
      <c r="A1" s="2" t="s">
        <v>0</v>
      </c>
      <c r="F1" s="10"/>
      <c r="G1" s="11" t="s">
        <v>28</v>
      </c>
      <c r="H1" s="12"/>
      <c r="I1" s="12"/>
      <c r="J1" s="12"/>
      <c r="K1" s="12"/>
    </row>
    <row r="2" spans="1:11" x14ac:dyDescent="0.3">
      <c r="F2" s="9" t="s">
        <v>22</v>
      </c>
      <c r="G2" s="9" t="s">
        <v>23</v>
      </c>
      <c r="H2" s="9" t="s">
        <v>24</v>
      </c>
      <c r="I2" s="9" t="s">
        <v>26</v>
      </c>
      <c r="J2" s="13" t="s">
        <v>25</v>
      </c>
      <c r="K2" s="9" t="s">
        <v>27</v>
      </c>
    </row>
    <row r="3" spans="1:11" x14ac:dyDescent="0.3">
      <c r="A3" s="1" t="s">
        <v>1</v>
      </c>
      <c r="B3" s="5">
        <v>50</v>
      </c>
      <c r="E3" t="s">
        <v>20</v>
      </c>
      <c r="F3" s="17">
        <f>B3*B22*B17-B4*B21*B18</f>
        <v>5.9283839528703197E-3</v>
      </c>
      <c r="G3">
        <f>B22*B17</f>
        <v>1.7810174819050069E-2</v>
      </c>
      <c r="H3">
        <f>B22/(B3*B13)*B23</f>
        <v>4.7411703051550541E-2</v>
      </c>
      <c r="I3">
        <f>1/100*B3*B22*SQRT(B8)*B23</f>
        <v>1.6236884606695395E-3</v>
      </c>
      <c r="J3">
        <f>1/B10*(-B3*B5*B22/(2*SQRT(B8))*B23-B6*B4*B21*B18+B7*B3*B22*B17)</f>
        <v>-1.0220758114006507E-2</v>
      </c>
      <c r="K3" s="18">
        <f>1/100*B4*B8*B21*B18</f>
        <v>4.8470156547925104E-5</v>
      </c>
    </row>
    <row r="4" spans="1:11" x14ac:dyDescent="0.3">
      <c r="A4" s="1" t="s">
        <v>2</v>
      </c>
      <c r="B4" s="5">
        <v>52</v>
      </c>
      <c r="E4" t="s">
        <v>21</v>
      </c>
      <c r="F4" s="17">
        <f>B4*B21*B20-B3*B22*B19</f>
        <v>1.9973811412797318</v>
      </c>
      <c r="G4">
        <f>B22*(B17-1)</f>
        <v>-0.98218982518094988</v>
      </c>
      <c r="H4">
        <f>H3</f>
        <v>4.7411703051550541E-2</v>
      </c>
      <c r="I4">
        <f>I3</f>
        <v>1.6236884606695395E-3</v>
      </c>
      <c r="J4">
        <f>1/B10*(-B3*B5*B22/(2*SQRT(B8))*B23+B6*B4*B21*B20-B7*B3*B22*B19)</f>
        <v>-5.9474880243632041E-3</v>
      </c>
      <c r="K4">
        <f>-1/100*B4*B8*B21*B20</f>
        <v>-2.8003765698809443E-3</v>
      </c>
    </row>
    <row r="5" spans="1:11" x14ac:dyDescent="0.3">
      <c r="A5" s="1" t="s">
        <v>3</v>
      </c>
      <c r="B5" s="14">
        <v>0.25</v>
      </c>
    </row>
    <row r="6" spans="1:11" x14ac:dyDescent="0.3">
      <c r="A6" s="1" t="s">
        <v>4</v>
      </c>
      <c r="B6" s="6">
        <v>0.03</v>
      </c>
      <c r="E6" t="s">
        <v>31</v>
      </c>
      <c r="F6">
        <v>2.88</v>
      </c>
    </row>
    <row r="7" spans="1:11" x14ac:dyDescent="0.3">
      <c r="A7" s="1" t="s">
        <v>5</v>
      </c>
      <c r="B7" s="6">
        <v>0</v>
      </c>
    </row>
    <row r="8" spans="1:11" x14ac:dyDescent="0.3">
      <c r="A8" s="1" t="s">
        <v>6</v>
      </c>
      <c r="B8">
        <f>B9/B10</f>
        <v>5.4794520547945206E-3</v>
      </c>
      <c r="H8" t="s">
        <v>30</v>
      </c>
    </row>
    <row r="9" spans="1:11" x14ac:dyDescent="0.3">
      <c r="A9" s="3" t="s">
        <v>7</v>
      </c>
      <c r="B9" s="7">
        <v>2</v>
      </c>
    </row>
    <row r="10" spans="1:11" x14ac:dyDescent="0.3">
      <c r="A10" s="3" t="s">
        <v>8</v>
      </c>
      <c r="B10" s="7">
        <v>365</v>
      </c>
    </row>
    <row r="12" spans="1:11" x14ac:dyDescent="0.3">
      <c r="A12" s="3" t="s">
        <v>9</v>
      </c>
      <c r="B12" s="8">
        <f>LN(B3/B4)</f>
        <v>-3.9220713153281267E-2</v>
      </c>
    </row>
    <row r="13" spans="1:11" x14ac:dyDescent="0.3">
      <c r="A13" s="3" t="s">
        <v>10</v>
      </c>
      <c r="B13" s="8">
        <f>B5*SQRT(B8)</f>
        <v>1.8505830254940132E-2</v>
      </c>
    </row>
    <row r="14" spans="1:11" x14ac:dyDescent="0.3">
      <c r="A14" s="3" t="s">
        <v>11</v>
      </c>
      <c r="B14" s="8">
        <f>(B6-B7+0.5*B5^2)*B8</f>
        <v>3.3561643835616436E-4</v>
      </c>
    </row>
    <row r="15" spans="1:11" x14ac:dyDescent="0.3">
      <c r="A15" s="3" t="s">
        <v>12</v>
      </c>
      <c r="B15" s="8">
        <f>(B12+B14)/B13</f>
        <v>-2.1012349178197351</v>
      </c>
    </row>
    <row r="16" spans="1:11" x14ac:dyDescent="0.3">
      <c r="A16" s="3" t="s">
        <v>13</v>
      </c>
      <c r="B16" s="8">
        <f>B15-B13</f>
        <v>-2.1197407480746753</v>
      </c>
    </row>
    <row r="17" spans="1:2" x14ac:dyDescent="0.3">
      <c r="A17" s="3" t="s">
        <v>14</v>
      </c>
      <c r="B17" s="8">
        <f>_xlfn.NORM.S.DIST(B15,TRUE)</f>
        <v>1.7810174819050069E-2</v>
      </c>
    </row>
    <row r="18" spans="1:2" x14ac:dyDescent="0.3">
      <c r="A18" s="3" t="s">
        <v>15</v>
      </c>
      <c r="B18" s="8">
        <f>_xlfn.NORM.S.DIST(B16,TRUE)</f>
        <v>1.7013957296566871E-2</v>
      </c>
    </row>
    <row r="19" spans="1:2" x14ac:dyDescent="0.3">
      <c r="A19" s="3" t="s">
        <v>16</v>
      </c>
      <c r="B19" s="8">
        <f>_xlfn.NORM.S.DIST(-B15,TRUE)</f>
        <v>0.98218982518094988</v>
      </c>
    </row>
    <row r="20" spans="1:2" x14ac:dyDescent="0.3">
      <c r="A20" s="3" t="s">
        <v>17</v>
      </c>
      <c r="B20" s="8">
        <f>_xlfn.NORM.S.DIST(-B16,TRUE)</f>
        <v>0.98298604270343315</v>
      </c>
    </row>
    <row r="21" spans="1:2" x14ac:dyDescent="0.3">
      <c r="A21" s="3" t="s">
        <v>18</v>
      </c>
      <c r="B21" s="8">
        <f>EXP(-B6*B8)</f>
        <v>0.99983562994859354</v>
      </c>
    </row>
    <row r="22" spans="1:2" x14ac:dyDescent="0.3">
      <c r="A22" s="3" t="s">
        <v>19</v>
      </c>
      <c r="B22" s="8">
        <f>EXP(-B7*B8)</f>
        <v>1</v>
      </c>
    </row>
    <row r="23" spans="1:2" x14ac:dyDescent="0.3">
      <c r="A23" s="3" t="s">
        <v>29</v>
      </c>
      <c r="B23" s="8">
        <f>1/SQRT(2*PI())*EXP(-0.5*B15^2)</f>
        <v>4.3869646438481076E-2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74F0-2041-468B-B6A5-97DDDFCBF383}">
  <sheetPr codeName="Sheet2"/>
  <dimension ref="A1:H22"/>
  <sheetViews>
    <sheetView workbookViewId="0">
      <selection activeCell="C13" sqref="C13"/>
    </sheetView>
  </sheetViews>
  <sheetFormatPr defaultRowHeight="14.4" x14ac:dyDescent="0.3"/>
  <cols>
    <col min="1" max="1" width="29" customWidth="1"/>
    <col min="2" max="2" width="8.77734375" customWidth="1"/>
    <col min="3" max="3" width="7.109375" bestFit="1" customWidth="1"/>
  </cols>
  <sheetData>
    <row r="1" spans="1:8" x14ac:dyDescent="0.3">
      <c r="A1" s="2" t="s">
        <v>32</v>
      </c>
      <c r="F1">
        <v>0</v>
      </c>
      <c r="G1">
        <v>1</v>
      </c>
      <c r="H1">
        <v>2</v>
      </c>
    </row>
    <row r="2" spans="1:8" x14ac:dyDescent="0.3">
      <c r="A2" t="s">
        <v>33</v>
      </c>
      <c r="C2" s="4">
        <v>40</v>
      </c>
      <c r="H2">
        <f>G3*C10</f>
        <v>59.672987905650814</v>
      </c>
    </row>
    <row r="3" spans="1:8" x14ac:dyDescent="0.3">
      <c r="A3" t="s">
        <v>34</v>
      </c>
      <c r="C3" s="4">
        <v>40</v>
      </c>
      <c r="G3">
        <f>F4*C10</f>
        <v>48.856110326406792</v>
      </c>
    </row>
    <row r="4" spans="1:8" x14ac:dyDescent="0.3">
      <c r="A4" t="s">
        <v>35</v>
      </c>
      <c r="C4">
        <v>2</v>
      </c>
      <c r="F4" s="4">
        <f>C2</f>
        <v>40</v>
      </c>
      <c r="H4">
        <f>G3*C11</f>
        <v>40</v>
      </c>
    </row>
    <row r="5" spans="1:8" x14ac:dyDescent="0.3">
      <c r="A5" t="s">
        <v>36</v>
      </c>
      <c r="C5" s="15">
        <v>0.05</v>
      </c>
      <c r="G5">
        <f>F4*C11</f>
        <v>32.749230123119276</v>
      </c>
    </row>
    <row r="6" spans="1:8" x14ac:dyDescent="0.3">
      <c r="A6" t="s">
        <v>37</v>
      </c>
      <c r="C6" s="15">
        <v>0.2</v>
      </c>
      <c r="H6">
        <f>G5*C11</f>
        <v>26.812801841425571</v>
      </c>
    </row>
    <row r="7" spans="1:8" x14ac:dyDescent="0.3">
      <c r="A7" t="s">
        <v>38</v>
      </c>
      <c r="C7">
        <v>2</v>
      </c>
    </row>
    <row r="8" spans="1:8" x14ac:dyDescent="0.3">
      <c r="A8" t="s">
        <v>39</v>
      </c>
      <c r="C8" t="s">
        <v>40</v>
      </c>
      <c r="F8" s="1" t="s">
        <v>44</v>
      </c>
    </row>
    <row r="9" spans="1:8" x14ac:dyDescent="0.3">
      <c r="F9" s="16">
        <v>0</v>
      </c>
      <c r="G9" s="16">
        <v>1</v>
      </c>
      <c r="H9" s="16">
        <v>2</v>
      </c>
    </row>
    <row r="10" spans="1:8" x14ac:dyDescent="0.3">
      <c r="A10" t="s">
        <v>41</v>
      </c>
      <c r="C10">
        <f>EXP(C6*SQRT(C13))</f>
        <v>1.2214027581601699</v>
      </c>
      <c r="H10" s="4">
        <f>MAX(0,H2-$C$3)</f>
        <v>19.672987905650814</v>
      </c>
    </row>
    <row r="11" spans="1:8" x14ac:dyDescent="0.3">
      <c r="A11" t="s">
        <v>42</v>
      </c>
      <c r="C11">
        <f>1/C10</f>
        <v>0.81873075307798182</v>
      </c>
      <c r="G11">
        <f>($C$15*H10+$C$16*H12)*EXP(-$C$5*$C$13)</f>
        <v>10.806933346378237</v>
      </c>
    </row>
    <row r="12" spans="1:8" x14ac:dyDescent="0.3">
      <c r="F12">
        <f>($C$15*G11+$C$16*G13)*EXP(-$C$5*$C$13)</f>
        <v>5.9365567097977801</v>
      </c>
      <c r="H12" s="4">
        <f>MAX(0,H4-$C$3)</f>
        <v>0</v>
      </c>
    </row>
    <row r="13" spans="1:8" x14ac:dyDescent="0.3">
      <c r="A13" t="s">
        <v>43</v>
      </c>
      <c r="C13">
        <f>C4/C7</f>
        <v>1</v>
      </c>
      <c r="G13">
        <f>($C$15*H12+$C$16*H14)*EXP(-$C$5*$C$13)</f>
        <v>0</v>
      </c>
    </row>
    <row r="14" spans="1:8" x14ac:dyDescent="0.3">
      <c r="H14" s="4">
        <f>MAX(0,H6-$C$3)</f>
        <v>0</v>
      </c>
    </row>
    <row r="15" spans="1:8" x14ac:dyDescent="0.3">
      <c r="A15" t="s">
        <v>45</v>
      </c>
      <c r="C15">
        <f>(EXP(C5*C13)-C11)/(C10-C11)</f>
        <v>0.57749319635612428</v>
      </c>
    </row>
    <row r="16" spans="1:8" x14ac:dyDescent="0.3">
      <c r="A16" t="s">
        <v>46</v>
      </c>
      <c r="C16">
        <f>1 -C15</f>
        <v>0.42250680364387572</v>
      </c>
      <c r="F16" s="1" t="s">
        <v>47</v>
      </c>
    </row>
    <row r="17" spans="1:8" x14ac:dyDescent="0.3">
      <c r="F17" s="16">
        <v>0</v>
      </c>
      <c r="G17" s="16">
        <v>1</v>
      </c>
      <c r="H17" s="16">
        <v>2</v>
      </c>
    </row>
    <row r="18" spans="1:8" x14ac:dyDescent="0.3">
      <c r="A18" t="s">
        <v>48</v>
      </c>
      <c r="C18" cm="1">
        <f t="array" ref="C18">BinomEuro(C2,C3,C4,C5,C6,C7,C8)</f>
        <v>5.9365567097977792</v>
      </c>
      <c r="H18" s="4">
        <f>MAX(0,$C$3-H2)</f>
        <v>0</v>
      </c>
    </row>
    <row r="19" spans="1:8" x14ac:dyDescent="0.3">
      <c r="G19">
        <f>($C$15*H18+$C$16*H20)*EXP(-$C$5*$C$13)</f>
        <v>0</v>
      </c>
    </row>
    <row r="20" spans="1:8" x14ac:dyDescent="0.3">
      <c r="F20">
        <f>($C$15*G19+$C$16*G21)*EXP(-$C$5*$C$13)</f>
        <v>2.1300534312361576</v>
      </c>
      <c r="H20" s="4">
        <f>MAX(0,$C$3-H4)</f>
        <v>0</v>
      </c>
    </row>
    <row r="21" spans="1:8" x14ac:dyDescent="0.3">
      <c r="G21">
        <f>($C$15*H20+$C$16*H22)*EXP(-$C$5*$C$13)</f>
        <v>5.2999468569092842</v>
      </c>
    </row>
    <row r="22" spans="1:8" x14ac:dyDescent="0.3">
      <c r="H22" s="4">
        <f>MAX(0,$C$3-H6)</f>
        <v>13.187198158574429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BSM Option Greeks Value</vt:lpstr>
      <vt:lpstr>Cox Ross and Rubinstien CRR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Choudhary</dc:creator>
  <cp:lastModifiedBy>Naman Choudhary</cp:lastModifiedBy>
  <dcterms:created xsi:type="dcterms:W3CDTF">2025-04-18T13:11:02Z</dcterms:created>
  <dcterms:modified xsi:type="dcterms:W3CDTF">2025-04-19T12:56:49Z</dcterms:modified>
</cp:coreProperties>
</file>